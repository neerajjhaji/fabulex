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38\Documents\Mail Draft\Commercials\"/>
    </mc:Choice>
  </mc:AlternateContent>
  <xr:revisionPtr revIDLastSave="0" documentId="13_ncr:1_{08F77547-4DC3-463A-9CA3-7D315E95A11C}" xr6:coauthVersionLast="47" xr6:coauthVersionMax="47" xr10:uidLastSave="{00000000-0000-0000-0000-000000000000}"/>
  <bookViews>
    <workbookView xWindow="-120" yWindow="-120" windowWidth="29040" windowHeight="15840" xr2:uid="{3AC95196-5F70-4CBF-B762-F340F0BC02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6" i="1" l="1"/>
  <c r="G35" i="1"/>
  <c r="G34" i="1"/>
  <c r="G40" i="1"/>
  <c r="G11" i="1"/>
  <c r="G39" i="1" l="1"/>
  <c r="G41" i="1"/>
  <c r="G33" i="1"/>
  <c r="G32" i="1"/>
  <c r="G31" i="1"/>
  <c r="G30" i="1"/>
  <c r="G26" i="1"/>
  <c r="G25" i="1"/>
  <c r="G24" i="1"/>
  <c r="G23" i="1"/>
  <c r="G22" i="1"/>
  <c r="G21" i="1"/>
  <c r="G38" i="1"/>
  <c r="G29" i="1"/>
  <c r="G18" i="1"/>
  <c r="G17" i="1"/>
  <c r="G16" i="1"/>
  <c r="G15" i="1"/>
  <c r="G12" i="1"/>
  <c r="G10" i="1"/>
  <c r="C5" i="1" l="1"/>
  <c r="G27" i="1"/>
  <c r="G13" i="1"/>
  <c r="G19" i="1"/>
  <c r="C6" i="1" l="1"/>
  <c r="C7" i="1" s="1"/>
</calcChain>
</file>

<file path=xl/sharedStrings.xml><?xml version="1.0" encoding="utf-8"?>
<sst xmlns="http://schemas.openxmlformats.org/spreadsheetml/2006/main" count="68" uniqueCount="51">
  <si>
    <t>RedHat SpeedCloud Proposal</t>
  </si>
  <si>
    <t>Proposal Date</t>
  </si>
  <si>
    <t>Contract Period</t>
  </si>
  <si>
    <t>One-time Charges</t>
  </si>
  <si>
    <t>Monthly Recurring Charges</t>
  </si>
  <si>
    <t>Annual Recurring Charges</t>
  </si>
  <si>
    <t>Service Description</t>
  </si>
  <si>
    <t>Unit of Measure</t>
  </si>
  <si>
    <t>Unit Price</t>
  </si>
  <si>
    <t>DC Quantity</t>
  </si>
  <si>
    <t>Amount</t>
  </si>
  <si>
    <t>Perimeter Security</t>
  </si>
  <si>
    <t xml:space="preserve"> Public IP Address (v4) </t>
  </si>
  <si>
    <t xml:space="preserve"> Per Address </t>
  </si>
  <si>
    <t>Redundant, DDoS Protected Internet Data Transfer Port</t>
  </si>
  <si>
    <t xml:space="preserve"> Per Mbps </t>
  </si>
  <si>
    <t>Sub-total Perimeter Security</t>
  </si>
  <si>
    <t>Application Infrastructure</t>
  </si>
  <si>
    <t xml:space="preserve"> Total vCPUs  </t>
  </si>
  <si>
    <t xml:space="preserve"> Per vCore (1:4)</t>
  </si>
  <si>
    <t xml:space="preserve"> Total Memory </t>
  </si>
  <si>
    <t xml:space="preserve"> Per GB  </t>
  </si>
  <si>
    <t xml:space="preserve"> Total NVMe Storage </t>
  </si>
  <si>
    <t xml:space="preserve"> Per 100GB </t>
  </si>
  <si>
    <t>Sub-total Application Infrastructure</t>
  </si>
  <si>
    <t>Managed Services</t>
  </si>
  <si>
    <t xml:space="preserve">XDRShield </t>
  </si>
  <si>
    <t xml:space="preserve"> Per VM </t>
  </si>
  <si>
    <t>Sub-total Managed Services</t>
  </si>
  <si>
    <t>VM Setup &amp; Management</t>
  </si>
  <si>
    <t xml:space="preserve"> Virtual Datacenter Configuration </t>
  </si>
  <si>
    <t xml:space="preserve">Per Software </t>
  </si>
  <si>
    <t>Linux OS</t>
  </si>
  <si>
    <t>NA</t>
  </si>
  <si>
    <t>My SQL Database</t>
  </si>
  <si>
    <t>MS SQL Database</t>
  </si>
  <si>
    <t>Per 2 Core</t>
  </si>
  <si>
    <t>Managed Database</t>
  </si>
  <si>
    <t>Managed VM</t>
  </si>
  <si>
    <t>Managed OS</t>
  </si>
  <si>
    <t>Auto Intelli Dashboard</t>
  </si>
  <si>
    <t>Per VM</t>
  </si>
  <si>
    <t>Per Database</t>
  </si>
  <si>
    <t>Per GB</t>
  </si>
  <si>
    <t>Database Configuration</t>
  </si>
  <si>
    <t xml:space="preserve">Windows OS </t>
  </si>
  <si>
    <t>Per vAppliance</t>
  </si>
  <si>
    <t>NxtGen Firewall ( 1G )</t>
  </si>
  <si>
    <t>Firewall Configuration</t>
  </si>
  <si>
    <t>NxtGen SIEM</t>
  </si>
  <si>
    <t>NxtGen SOAR Add-on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</si>
</sst>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[$₹-4009]\ * #,##0_ ;_ [$₹-4009]\ * \-#,##0_ ;_ [$₹-4009]\ * &quot;-&quot;??_ ;_ @_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2"/>
      <color theme="1" tint="0.499984740745262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0" fillId="0" borderId="1" xfId="0" applyBorder="1" applyAlignment="1">
      <alignment horizontal="right"/>
    </xf>
    <xf numFmtId="14" fontId="0" fillId="0" borderId="2" xfId="0" applyNumberFormat="1" applyBorder="1" applyAlignment="1" applyProtection="1">
      <alignment horizontal="right"/>
      <protection locked="0"/>
    </xf>
    <xf numFmtId="0" fontId="0" fillId="4" borderId="2" xfId="0" applyFill="1" applyBorder="1" applyAlignment="1" applyProtection="1">
      <alignment horizontal="right"/>
      <protection locked="0"/>
    </xf>
    <xf numFmtId="164" fontId="0" fillId="5" borderId="2" xfId="0" applyNumberFormat="1" applyFill="1" applyBorder="1"/>
    <xf numFmtId="164" fontId="0" fillId="0" borderId="2" xfId="0" applyNumberFormat="1" applyBorder="1" applyAlignment="1">
      <alignment horizontal="right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right"/>
    </xf>
    <xf numFmtId="0" fontId="4" fillId="2" borderId="2" xfId="0" applyFont="1" applyFill="1" applyBorder="1"/>
    <xf numFmtId="164" fontId="4" fillId="2" borderId="2" xfId="0" applyNumberFormat="1" applyFont="1" applyFill="1" applyBorder="1" applyAlignment="1">
      <alignment horizontal="right"/>
    </xf>
    <xf numFmtId="1" fontId="4" fillId="2" borderId="2" xfId="1" applyNumberFormat="1" applyFont="1" applyFill="1" applyBorder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0" fontId="0" fillId="5" borderId="2" xfId="0" applyFill="1" applyBorder="1"/>
    <xf numFmtId="0" fontId="0" fillId="3" borderId="2" xfId="1" applyNumberFormat="1" applyFont="1" applyFill="1" applyBorder="1" applyProtection="1">
      <protection locked="0"/>
    </xf>
    <xf numFmtId="164" fontId="0" fillId="5" borderId="3" xfId="0" applyNumberFormat="1" applyFill="1" applyBorder="1"/>
    <xf numFmtId="0" fontId="6" fillId="3" borderId="2" xfId="1" applyNumberFormat="1" applyFont="1" applyFill="1" applyBorder="1" applyAlignment="1" applyProtection="1">
      <protection locked="0"/>
    </xf>
    <xf numFmtId="3" fontId="6" fillId="3" borderId="2" xfId="1" applyNumberFormat="1" applyFont="1" applyFill="1" applyBorder="1" applyAlignment="1" applyProtection="1">
      <protection locked="0"/>
    </xf>
    <xf numFmtId="0" fontId="0" fillId="5" borderId="7" xfId="0" applyFill="1" applyBorder="1"/>
    <xf numFmtId="164" fontId="0" fillId="5" borderId="7" xfId="0" applyNumberFormat="1" applyFill="1" applyBorder="1"/>
    <xf numFmtId="0" fontId="0" fillId="3" borderId="7" xfId="1" applyNumberFormat="1" applyFont="1" applyFill="1" applyBorder="1" applyProtection="1">
      <protection locked="0"/>
    </xf>
    <xf numFmtId="164" fontId="0" fillId="5" borderId="8" xfId="0" applyNumberFormat="1" applyFill="1" applyBorder="1"/>
    <xf numFmtId="164" fontId="0" fillId="0" borderId="0" xfId="0" applyNumberFormat="1"/>
    <xf numFmtId="0" fontId="0" fillId="5" borderId="9" xfId="0" applyFill="1" applyBorder="1"/>
    <xf numFmtId="0" fontId="0" fillId="3" borderId="9" xfId="1" applyNumberFormat="1" applyFont="1" applyFill="1" applyBorder="1" applyProtection="1">
      <protection locked="0"/>
    </xf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2" xfId="0" applyBorder="1"/>
    <xf numFmtId="0" fontId="0" fillId="5" borderId="1" xfId="0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4" xfId="0" applyFill="1" applyBorder="1" applyAlignment="1">
      <alignment horizontal="right"/>
    </xf>
    <xf numFmtId="0" fontId="0" fillId="5" borderId="5" xfId="0" applyFill="1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5" borderId="6" xfId="0" applyFill="1" applyBorder="1" applyAlignment="1">
      <alignment horizontal="right"/>
    </xf>
    <xf numFmtId="0" fontId="0" fillId="5" borderId="7" xfId="0" applyFill="1" applyBorder="1" applyAlignment="1">
      <alignment horizontal="right"/>
    </xf>
    <xf numFmtId="0" fontId="5" fillId="5" borderId="1" xfId="0" applyFont="1" applyFill="1" applyBorder="1" applyAlignment="1">
      <alignment horizontal="left"/>
    </xf>
    <xf numFmtId="0" fontId="5" fillId="5" borderId="2" xfId="0" applyFont="1" applyFill="1" applyBorder="1" applyAlignment="1">
      <alignment horizontal="left"/>
    </xf>
    <xf numFmtId="0" fontId="5" fillId="5" borderId="3" xfId="0" applyFont="1" applyFill="1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3" fillId="3" borderId="2" xfId="0" applyFont="1" applyFill="1" applyBorder="1" applyAlignment="1" applyProtection="1">
      <alignment horizontal="center"/>
      <protection locked="0"/>
    </xf>
    <xf numFmtId="0" fontId="3" fillId="3" borderId="3" xfId="0" applyFont="1" applyFill="1" applyBorder="1" applyAlignment="1" applyProtection="1">
      <alignment horizontal="center"/>
      <protection locked="0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247650</xdr:colOff>
      <xdr:row>2</xdr:row>
      <xdr:rowOff>9525</xdr:rowOff>
    </xdr:from>
    <xdr:to>
      <xdr:col>7</xdr:col>
      <xdr:colOff>57150</xdr:colOff>
      <xdr:row>7</xdr:row>
      <xdr:rowOff>20193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813FE3-9B1D-4AAE-95EB-D45349BF1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83475" y="4352925"/>
          <a:ext cx="1762125" cy="9631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F152C-FDC3-4047-82AF-D3DFDFB92CF4}">
  <dimension ref="B1:K41"/>
  <sheetViews>
    <sheetView tabSelected="1" zoomScaleNormal="100" workbookViewId="0">
      <selection activeCell="I28" sqref="I28"/>
    </sheetView>
  </sheetViews>
  <sheetFormatPr defaultRowHeight="15" x14ac:dyDescent="0.25"/>
  <cols>
    <col min="2" max="2" width="39.5703125" customWidth="1"/>
    <col min="3" max="3" width="13.140625" bestFit="1" customWidth="1"/>
    <col min="4" max="4" width="15.7109375" bestFit="1" customWidth="1"/>
    <col min="5" max="5" width="11" bestFit="1" customWidth="1"/>
    <col min="6" max="6" width="12.28515625" bestFit="1" customWidth="1"/>
    <col min="7" max="7" width="17" customWidth="1"/>
    <col min="11" max="11" width="10.42578125" bestFit="1" customWidth="1"/>
  </cols>
  <sheetData>
    <row r="1" spans="2:7" ht="15.75" thickBot="1" x14ac:dyDescent="0.3"/>
    <row r="2" spans="2:7" ht="18.75" x14ac:dyDescent="0.3">
      <c r="B2" s="41" t="s">
        <v>0</v>
      </c>
      <c r="C2" s="42"/>
      <c r="D2" s="42"/>
      <c r="E2" s="42"/>
      <c r="F2" s="42"/>
      <c r="G2" s="43"/>
    </row>
    <row r="3" spans="2:7" x14ac:dyDescent="0.25">
      <c r="B3" s="1" t="s">
        <v>1</v>
      </c>
      <c r="C3" s="2">
        <v>46234</v>
      </c>
      <c r="D3" s="24"/>
      <c r="E3" s="25"/>
      <c r="F3" s="44"/>
      <c r="G3" s="45"/>
    </row>
    <row r="4" spans="2:7" x14ac:dyDescent="0.25">
      <c r="B4" s="1" t="s">
        <v>2</v>
      </c>
      <c r="C4" s="3"/>
      <c r="D4" s="25"/>
      <c r="E4" s="25"/>
      <c r="F4" s="44"/>
      <c r="G4" s="45"/>
    </row>
    <row r="5" spans="2:7" x14ac:dyDescent="0.25">
      <c r="B5" s="1" t="s">
        <v>3</v>
      </c>
      <c r="C5" s="4">
        <f>SUM(G38:G41)</f>
        <v>94720</v>
      </c>
      <c r="D5" s="25"/>
      <c r="E5" s="25"/>
      <c r="F5" s="44"/>
      <c r="G5" s="45"/>
    </row>
    <row r="6" spans="2:7" x14ac:dyDescent="0.25">
      <c r="B6" s="1" t="s">
        <v>4</v>
      </c>
      <c r="C6" s="5">
        <f>SUM(G13,G19,G36,G27)</f>
        <v>274620</v>
      </c>
      <c r="D6" s="25"/>
      <c r="E6" s="25"/>
      <c r="F6" s="44"/>
      <c r="G6" s="45"/>
    </row>
    <row r="7" spans="2:7" x14ac:dyDescent="0.25">
      <c r="B7" s="1" t="s">
        <v>5</v>
      </c>
      <c r="C7" s="5">
        <f>SUM(C6*12)</f>
        <v>3295440</v>
      </c>
      <c r="D7" s="26"/>
      <c r="E7" s="27"/>
      <c r="F7" s="44"/>
      <c r="G7" s="45"/>
    </row>
    <row r="8" spans="2:7" ht="15.75" x14ac:dyDescent="0.25">
      <c r="B8" s="6" t="s">
        <v>6</v>
      </c>
      <c r="C8" s="7"/>
      <c r="D8" s="8" t="s">
        <v>7</v>
      </c>
      <c r="E8" s="9" t="s">
        <v>8</v>
      </c>
      <c r="F8" s="10" t="s">
        <v>9</v>
      </c>
      <c r="G8" s="11" t="s">
        <v>10</v>
      </c>
    </row>
    <row r="9" spans="2:7" ht="15.75" x14ac:dyDescent="0.25">
      <c r="B9" s="46" t="s">
        <v>11</v>
      </c>
      <c r="C9" s="47"/>
      <c r="D9" s="47"/>
      <c r="E9" s="47"/>
      <c r="F9" s="47"/>
      <c r="G9" s="48"/>
    </row>
    <row r="10" spans="2:7" x14ac:dyDescent="0.25">
      <c r="B10" s="28" t="s">
        <v>12</v>
      </c>
      <c r="C10" s="29"/>
      <c r="D10" s="12" t="s">
        <v>13</v>
      </c>
      <c r="E10" s="4">
        <v>560</v>
      </c>
      <c r="F10" s="13">
        <v>5</v>
      </c>
      <c r="G10" s="14">
        <f>SUM(E10*F10)</f>
        <v>2800</v>
      </c>
    </row>
    <row r="11" spans="2:7" x14ac:dyDescent="0.25">
      <c r="B11" s="30" t="s">
        <v>47</v>
      </c>
      <c r="C11" s="31"/>
      <c r="D11" s="12" t="s">
        <v>46</v>
      </c>
      <c r="E11" s="4">
        <v>39255</v>
      </c>
      <c r="F11" s="13">
        <v>1</v>
      </c>
      <c r="G11" s="14">
        <f>SUM(E11*F11)</f>
        <v>39255</v>
      </c>
    </row>
    <row r="12" spans="2:7" x14ac:dyDescent="0.25">
      <c r="B12" s="28" t="s">
        <v>14</v>
      </c>
      <c r="C12" s="29"/>
      <c r="D12" s="12" t="s">
        <v>15</v>
      </c>
      <c r="E12" s="4">
        <v>650</v>
      </c>
      <c r="F12" s="13">
        <v>25</v>
      </c>
      <c r="G12" s="14">
        <f>SUM(E12*F12)</f>
        <v>16250</v>
      </c>
    </row>
    <row r="13" spans="2:7" x14ac:dyDescent="0.25">
      <c r="B13" s="28" t="s">
        <v>16</v>
      </c>
      <c r="C13" s="29"/>
      <c r="D13" s="29"/>
      <c r="E13" s="29"/>
      <c r="F13" s="29"/>
      <c r="G13" s="14">
        <f>SUM(G10:G12)</f>
        <v>58305</v>
      </c>
    </row>
    <row r="14" spans="2:7" ht="15.75" x14ac:dyDescent="0.25">
      <c r="B14" s="36" t="s">
        <v>17</v>
      </c>
      <c r="C14" s="37"/>
      <c r="D14" s="37"/>
      <c r="E14" s="37"/>
      <c r="F14" s="37"/>
      <c r="G14" s="38"/>
    </row>
    <row r="15" spans="2:7" x14ac:dyDescent="0.25">
      <c r="B15" s="28" t="s">
        <v>18</v>
      </c>
      <c r="C15" s="29"/>
      <c r="D15" s="12" t="s">
        <v>19</v>
      </c>
      <c r="E15" s="4">
        <v>800</v>
      </c>
      <c r="F15" s="15">
        <v>4</v>
      </c>
      <c r="G15" s="14">
        <f>SUM(E15*F15)</f>
        <v>3200</v>
      </c>
    </row>
    <row r="16" spans="2:7" x14ac:dyDescent="0.25">
      <c r="B16" s="28" t="s">
        <v>20</v>
      </c>
      <c r="C16" s="29"/>
      <c r="D16" s="12" t="s">
        <v>21</v>
      </c>
      <c r="E16" s="4">
        <v>360</v>
      </c>
      <c r="F16" s="16">
        <v>16</v>
      </c>
      <c r="G16" s="14">
        <f t="shared" ref="G16:G18" si="0">SUM(E16*F16)</f>
        <v>5760</v>
      </c>
    </row>
    <row r="17" spans="2:11" x14ac:dyDescent="0.25">
      <c r="B17" s="28" t="s">
        <v>22</v>
      </c>
      <c r="C17" s="29"/>
      <c r="D17" s="12" t="s">
        <v>23</v>
      </c>
      <c r="E17" s="4">
        <v>600</v>
      </c>
      <c r="F17" s="15">
        <v>1</v>
      </c>
      <c r="G17" s="14">
        <f t="shared" si="0"/>
        <v>600</v>
      </c>
    </row>
    <row r="18" spans="2:11" x14ac:dyDescent="0.25">
      <c r="B18" s="28" t="s">
        <v>32</v>
      </c>
      <c r="C18" s="29"/>
      <c r="D18" s="12" t="s">
        <v>33</v>
      </c>
      <c r="E18" s="4">
        <v>0</v>
      </c>
      <c r="F18" s="13">
        <v>0</v>
      </c>
      <c r="G18" s="14">
        <f t="shared" si="0"/>
        <v>0</v>
      </c>
    </row>
    <row r="19" spans="2:11" x14ac:dyDescent="0.25">
      <c r="B19" s="28" t="s">
        <v>24</v>
      </c>
      <c r="C19" s="29"/>
      <c r="D19" s="29"/>
      <c r="E19" s="29"/>
      <c r="F19" s="29"/>
      <c r="G19" s="14">
        <f>SUM(G15:G18)</f>
        <v>9560</v>
      </c>
    </row>
    <row r="20" spans="2:11" ht="15.75" x14ac:dyDescent="0.25">
      <c r="B20" s="36" t="s">
        <v>17</v>
      </c>
      <c r="C20" s="37"/>
      <c r="D20" s="37"/>
      <c r="E20" s="37"/>
      <c r="F20" s="37"/>
      <c r="G20" s="38"/>
    </row>
    <row r="21" spans="2:11" x14ac:dyDescent="0.25">
      <c r="B21" s="28" t="s">
        <v>18</v>
      </c>
      <c r="C21" s="29"/>
      <c r="D21" s="12" t="s">
        <v>19</v>
      </c>
      <c r="E21" s="4">
        <v>800</v>
      </c>
      <c r="F21" s="15">
        <v>14</v>
      </c>
      <c r="G21" s="14">
        <f>SUM(E21*F21)</f>
        <v>11200</v>
      </c>
    </row>
    <row r="22" spans="2:11" x14ac:dyDescent="0.25">
      <c r="B22" s="28" t="s">
        <v>20</v>
      </c>
      <c r="C22" s="29"/>
      <c r="D22" s="12" t="s">
        <v>21</v>
      </c>
      <c r="E22" s="4">
        <v>360</v>
      </c>
      <c r="F22" s="16">
        <v>56</v>
      </c>
      <c r="G22" s="14">
        <f t="shared" ref="G22:G26" si="1">SUM(E22*F22)</f>
        <v>20160</v>
      </c>
    </row>
    <row r="23" spans="2:11" x14ac:dyDescent="0.25">
      <c r="B23" s="28" t="s">
        <v>22</v>
      </c>
      <c r="C23" s="29"/>
      <c r="D23" s="12" t="s">
        <v>23</v>
      </c>
      <c r="E23" s="4">
        <v>600</v>
      </c>
      <c r="F23" s="15">
        <v>14</v>
      </c>
      <c r="G23" s="14">
        <f t="shared" si="1"/>
        <v>8400</v>
      </c>
    </row>
    <row r="24" spans="2:11" x14ac:dyDescent="0.25">
      <c r="B24" s="28" t="s">
        <v>45</v>
      </c>
      <c r="C24" s="29"/>
      <c r="D24" s="12" t="s">
        <v>36</v>
      </c>
      <c r="E24" s="4">
        <v>560</v>
      </c>
      <c r="F24" s="13">
        <v>7</v>
      </c>
      <c r="G24" s="14">
        <f t="shared" si="1"/>
        <v>3920</v>
      </c>
    </row>
    <row r="25" spans="2:11" x14ac:dyDescent="0.25">
      <c r="B25" s="39" t="s">
        <v>34</v>
      </c>
      <c r="C25" s="40"/>
      <c r="D25" s="12" t="s">
        <v>33</v>
      </c>
      <c r="E25" s="4">
        <v>0</v>
      </c>
      <c r="F25" s="13">
        <v>0</v>
      </c>
      <c r="G25" s="14">
        <f t="shared" si="1"/>
        <v>0</v>
      </c>
    </row>
    <row r="26" spans="2:11" x14ac:dyDescent="0.25">
      <c r="B26" s="39" t="s">
        <v>35</v>
      </c>
      <c r="C26" s="40"/>
      <c r="D26" s="12" t="s">
        <v>36</v>
      </c>
      <c r="E26" s="4">
        <v>1100</v>
      </c>
      <c r="F26" s="13">
        <v>7</v>
      </c>
      <c r="G26" s="14">
        <f t="shared" si="1"/>
        <v>7700</v>
      </c>
    </row>
    <row r="27" spans="2:11" x14ac:dyDescent="0.25">
      <c r="B27" s="28" t="s">
        <v>24</v>
      </c>
      <c r="C27" s="29"/>
      <c r="D27" s="29"/>
      <c r="E27" s="29"/>
      <c r="F27" s="29"/>
      <c r="G27" s="14">
        <f>SUM(G21:G26)</f>
        <v>51380</v>
      </c>
    </row>
    <row r="28" spans="2:11" ht="15.75" x14ac:dyDescent="0.25">
      <c r="B28" s="36" t="s">
        <v>25</v>
      </c>
      <c r="C28" s="37"/>
      <c r="D28" s="37"/>
      <c r="E28" s="37"/>
      <c r="F28" s="37"/>
      <c r="G28" s="38"/>
    </row>
    <row r="29" spans="2:11" x14ac:dyDescent="0.25">
      <c r="B29" s="39" t="s">
        <v>26</v>
      </c>
      <c r="C29" s="40"/>
      <c r="D29" s="12" t="s">
        <v>27</v>
      </c>
      <c r="E29" s="4">
        <v>600</v>
      </c>
      <c r="F29" s="13">
        <v>5</v>
      </c>
      <c r="G29" s="14">
        <f t="shared" ref="G29:G33" si="2">SUM(E29*F29)</f>
        <v>3000</v>
      </c>
    </row>
    <row r="30" spans="2:11" x14ac:dyDescent="0.25">
      <c r="B30" s="39" t="s">
        <v>37</v>
      </c>
      <c r="C30" s="40"/>
      <c r="D30" s="12" t="s">
        <v>42</v>
      </c>
      <c r="E30" s="4">
        <v>12000</v>
      </c>
      <c r="F30" s="13">
        <v>7</v>
      </c>
      <c r="G30" s="14">
        <f t="shared" si="2"/>
        <v>84000</v>
      </c>
    </row>
    <row r="31" spans="2:11" x14ac:dyDescent="0.25">
      <c r="B31" s="39" t="s">
        <v>39</v>
      </c>
      <c r="C31" s="40"/>
      <c r="D31" s="12" t="s">
        <v>41</v>
      </c>
      <c r="E31" s="4">
        <v>1755</v>
      </c>
      <c r="F31" s="13">
        <v>5</v>
      </c>
      <c r="G31" s="14">
        <f t="shared" si="2"/>
        <v>8775</v>
      </c>
    </row>
    <row r="32" spans="2:11" x14ac:dyDescent="0.25">
      <c r="B32" s="39" t="s">
        <v>38</v>
      </c>
      <c r="C32" s="40"/>
      <c r="D32" s="12" t="s">
        <v>41</v>
      </c>
      <c r="E32" s="4">
        <v>2340</v>
      </c>
      <c r="F32" s="13">
        <v>5</v>
      </c>
      <c r="G32" s="14">
        <f t="shared" si="2"/>
        <v>11700</v>
      </c>
      <c r="K32" s="21"/>
    </row>
    <row r="33" spans="2:11" x14ac:dyDescent="0.25">
      <c r="B33" s="39" t="s">
        <v>40</v>
      </c>
      <c r="C33" s="40"/>
      <c r="D33" s="12" t="s">
        <v>41</v>
      </c>
      <c r="E33" s="4">
        <v>7500</v>
      </c>
      <c r="F33" s="13">
        <v>5</v>
      </c>
      <c r="G33" s="14">
        <f t="shared" si="2"/>
        <v>37500</v>
      </c>
      <c r="K33" s="21"/>
    </row>
    <row r="34" spans="2:11" x14ac:dyDescent="0.25">
      <c r="B34" s="32" t="s">
        <v>49</v>
      </c>
      <c r="C34" s="33"/>
      <c r="D34" s="12" t="s">
        <v>43</v>
      </c>
      <c r="E34" s="4">
        <v>7150</v>
      </c>
      <c r="F34" s="13">
        <v>1</v>
      </c>
      <c r="G34" s="14">
        <f t="shared" ref="G34:G35" si="3">SUM(E34*F34)</f>
        <v>7150</v>
      </c>
      <c r="K34" s="21"/>
    </row>
    <row r="35" spans="2:11" x14ac:dyDescent="0.25">
      <c r="B35" s="32" t="s">
        <v>50</v>
      </c>
      <c r="C35" s="33"/>
      <c r="D35" s="12" t="s">
        <v>43</v>
      </c>
      <c r="E35" s="4">
        <v>3250</v>
      </c>
      <c r="F35" s="13">
        <v>1</v>
      </c>
      <c r="G35" s="14">
        <f t="shared" si="3"/>
        <v>3250</v>
      </c>
      <c r="K35" s="21"/>
    </row>
    <row r="36" spans="2:11" x14ac:dyDescent="0.25">
      <c r="B36" s="28" t="s">
        <v>28</v>
      </c>
      <c r="C36" s="29"/>
      <c r="D36" s="29"/>
      <c r="E36" s="29"/>
      <c r="F36" s="29"/>
      <c r="G36" s="14">
        <f>SUM(G29:G35)</f>
        <v>155375</v>
      </c>
    </row>
    <row r="37" spans="2:11" ht="15.75" x14ac:dyDescent="0.25">
      <c r="B37" s="36" t="s">
        <v>3</v>
      </c>
      <c r="C37" s="37"/>
      <c r="D37" s="37"/>
      <c r="E37" s="37"/>
      <c r="F37" s="37"/>
      <c r="G37" s="38"/>
    </row>
    <row r="38" spans="2:11" x14ac:dyDescent="0.25">
      <c r="B38" s="28" t="s">
        <v>29</v>
      </c>
      <c r="C38" s="29"/>
      <c r="D38" s="12" t="s">
        <v>27</v>
      </c>
      <c r="E38" s="4">
        <v>800</v>
      </c>
      <c r="F38" s="13">
        <v>5</v>
      </c>
      <c r="G38" s="14">
        <f>SUM(E38*F38)</f>
        <v>4000</v>
      </c>
    </row>
    <row r="39" spans="2:11" x14ac:dyDescent="0.25">
      <c r="B39" s="28" t="s">
        <v>44</v>
      </c>
      <c r="C39" s="29"/>
      <c r="D39" s="12" t="s">
        <v>42</v>
      </c>
      <c r="E39" s="4">
        <v>12000</v>
      </c>
      <c r="F39" s="13">
        <v>7</v>
      </c>
      <c r="G39" s="14">
        <f>SUM(E39*F39)</f>
        <v>84000</v>
      </c>
    </row>
    <row r="40" spans="2:11" x14ac:dyDescent="0.25">
      <c r="B40" s="30" t="s">
        <v>48</v>
      </c>
      <c r="C40" s="31"/>
      <c r="D40" s="22" t="s">
        <v>46</v>
      </c>
      <c r="E40" s="4">
        <v>3120</v>
      </c>
      <c r="F40" s="23">
        <v>1</v>
      </c>
      <c r="G40" s="14">
        <f>SUM(E40*F40)</f>
        <v>3120</v>
      </c>
    </row>
    <row r="41" spans="2:11" ht="15.75" thickBot="1" x14ac:dyDescent="0.3">
      <c r="B41" s="34" t="s">
        <v>30</v>
      </c>
      <c r="C41" s="35"/>
      <c r="D41" s="17" t="s">
        <v>31</v>
      </c>
      <c r="E41" s="18">
        <v>3600</v>
      </c>
      <c r="F41" s="19">
        <v>1</v>
      </c>
      <c r="G41" s="20">
        <f>SUM(E41*F41)</f>
        <v>3600</v>
      </c>
    </row>
  </sheetData>
  <protectedRanges>
    <protectedRange sqref="F21:F26 C3:C4 F38:F41 B2:G2 F15:F18 F10:F11 F29:F35" name="Range1_1_1_1_1"/>
  </protectedRanges>
  <mergeCells count="35">
    <mergeCell ref="B26:C26"/>
    <mergeCell ref="B31:C31"/>
    <mergeCell ref="B33:C33"/>
    <mergeCell ref="B29:C29"/>
    <mergeCell ref="B36:F36"/>
    <mergeCell ref="B37:G37"/>
    <mergeCell ref="B38:C38"/>
    <mergeCell ref="B2:G2"/>
    <mergeCell ref="F3:G7"/>
    <mergeCell ref="B9:G9"/>
    <mergeCell ref="B10:C10"/>
    <mergeCell ref="B12:C12"/>
    <mergeCell ref="B34:C34"/>
    <mergeCell ref="B13:F13"/>
    <mergeCell ref="B20:G20"/>
    <mergeCell ref="B21:C21"/>
    <mergeCell ref="B22:C22"/>
    <mergeCell ref="B23:C23"/>
    <mergeCell ref="B25:C25"/>
    <mergeCell ref="B39:C39"/>
    <mergeCell ref="B11:C11"/>
    <mergeCell ref="B40:C40"/>
    <mergeCell ref="B35:C35"/>
    <mergeCell ref="B41:C41"/>
    <mergeCell ref="B14:G14"/>
    <mergeCell ref="B15:C15"/>
    <mergeCell ref="B16:C16"/>
    <mergeCell ref="B17:C17"/>
    <mergeCell ref="B18:C18"/>
    <mergeCell ref="B19:F19"/>
    <mergeCell ref="B24:C24"/>
    <mergeCell ref="B27:F27"/>
    <mergeCell ref="B30:C30"/>
    <mergeCell ref="B32:C32"/>
    <mergeCell ref="B28:G28"/>
  </mergeCells>
  <dataValidations count="1">
    <dataValidation allowBlank="1" showInputMessage="1" showErrorMessage="1" promptTitle="Customer Name" prompt="Please enter the name of the customer in this field." sqref="B3:F3" xr:uid="{63886BEB-66E9-49D5-9963-06E38C74C008}"/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Nihar Ranjan Palai</dc:creator>
  <cp:lastModifiedBy>Nihar Ranjan Palai</cp:lastModifiedBy>
  <dcterms:created xsi:type="dcterms:W3CDTF">2026-07-30T06:58:48Z</dcterms:created>
  <dcterms:modified xsi:type="dcterms:W3CDTF">2026-07-31T12:44:07Z</dcterms:modified>
</cp:coreProperties>
</file>