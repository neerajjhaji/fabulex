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ost Comparison" sheetId="2" state="visible" r:id="rId2"/>
    <sheet xmlns:r="http://schemas.openxmlformats.org/officeDocument/2006/relationships" name="IaaS Comparison" sheetId="3" state="visible" r:id="rId3"/>
    <sheet xmlns:r="http://schemas.openxmlformats.org/officeDocument/2006/relationships" name="PaaS Comparison" sheetId="4" state="visible" r:id="rId4"/>
    <sheet xmlns:r="http://schemas.openxmlformats.org/officeDocument/2006/relationships" name="SaaS &amp; Managed Services" sheetId="5" state="visible" r:id="rId5"/>
    <sheet xmlns:r="http://schemas.openxmlformats.org/officeDocument/2006/relationships" name="Migration Benefits" sheetId="6" state="visible" r:id="rId6"/>
    <sheet xmlns:r="http://schemas.openxmlformats.org/officeDocument/2006/relationships" name="Advanced Servi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₹&quot;#,##0"/>
    <numFmt numFmtId="165" formatCode="0.0%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595959"/>
      <sz val="9"/>
    </font>
    <font>
      <name val="Arial"/>
      <b val="1"/>
      <color rgb="001F3864"/>
      <sz val="12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b val="1"/>
      <color rgb="001F3864"/>
      <sz val="11"/>
    </font>
    <font>
      <name val="Arial"/>
      <b val="1"/>
      <color rgb="00548235"/>
      <sz val="10"/>
    </font>
    <font>
      <name val="Arial"/>
      <color rgb="00000000"/>
      <sz val="10"/>
    </font>
    <font>
      <name val="Arial"/>
      <b val="1"/>
      <color rgb="000078D4"/>
      <sz val="12"/>
    </font>
    <font>
      <name val="Arial"/>
      <b val="1"/>
      <color rgb="00000000"/>
      <sz val="11"/>
    </font>
    <font>
      <name val="Arial"/>
      <b val="1"/>
      <color rgb="00C00000"/>
      <sz val="12"/>
    </font>
    <font>
      <name val="Arial"/>
      <color rgb="00000000"/>
      <sz val="9"/>
    </font>
    <font>
      <name val="Arial"/>
      <b val="1"/>
      <color rgb="00548235"/>
      <sz val="12"/>
    </font>
    <font>
      <name val="Arial"/>
      <color rgb="00548235"/>
      <sz val="9"/>
    </font>
    <font>
      <name val="Arial"/>
      <b val="1"/>
      <color rgb="00C55A11"/>
      <sz val="12"/>
    </font>
    <font>
      <name val="Arial"/>
      <color rgb="00C55A11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0078D4"/>
      </patternFill>
    </fill>
    <fill>
      <patternFill patternType="solid">
        <fgColor rgb="00D9E1F2"/>
      </patternFill>
    </fill>
    <fill>
      <patternFill patternType="solid">
        <fgColor rgb="00C00000"/>
      </patternFill>
    </fill>
    <fill>
      <patternFill patternType="solid">
        <fgColor rgb="00548235"/>
      </patternFill>
    </fill>
    <fill>
      <patternFill patternType="solid">
        <fgColor rgb="00C55A11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pivotButton="0" quotePrefix="0" xfId="0"/>
    <xf numFmtId="164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165" fontId="7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  <xf numFmtId="0" fontId="9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10" fillId="5" borderId="1" pivotButton="0" quotePrefix="0" xfId="0"/>
    <xf numFmtId="0" fontId="0" fillId="5" borderId="1" pivotButton="0" quotePrefix="0" xfId="0"/>
    <xf numFmtId="164" fontId="10" fillId="5" borderId="1" applyAlignment="1" pivotButton="0" quotePrefix="0" xfId="0">
      <alignment horizontal="right" vertical="center"/>
    </xf>
    <xf numFmtId="0" fontId="11" fillId="0" borderId="0" pivotButton="0" quotePrefix="0" xfId="0"/>
    <xf numFmtId="0" fontId="4" fillId="6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right" vertical="center"/>
    </xf>
    <xf numFmtId="0" fontId="1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4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12" fillId="0" borderId="1" applyAlignment="1" pivotButton="0" quotePrefix="0" xfId="0">
      <alignment horizontal="left" vertical="top" wrapText="1"/>
    </xf>
    <xf numFmtId="0" fontId="14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15" fillId="0" borderId="0" pivotButton="0" quotePrefix="0" xfId="0"/>
    <xf numFmtId="0" fontId="4" fillId="8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10" fillId="5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19" customWidth="1" min="3" max="3"/>
    <col width="16" customWidth="1" min="4" max="4"/>
    <col width="14" customWidth="1" min="5" max="5"/>
    <col width="50" customWidth="1" min="6" max="6"/>
  </cols>
  <sheetData>
    <row r="1" ht="28" customHeight="1">
      <c r="A1" s="1" t="inlineStr">
        <is>
          <t>Cloud Comparison Plan — Azure vs NxtGen Private Cloud (RedHat SpeedCloud)</t>
        </is>
      </c>
    </row>
    <row r="2" ht="18" customHeight="1">
      <c r="A2" s="2" t="inlineStr">
        <is>
          <t>Customer: Inches Healthcare  |  Azure baseline = actual billing May 2026  |  NxtGen = SpeedCloud proposal 31-Jul-2026  |  All figures INR, ex-tax</t>
        </is>
      </c>
    </row>
    <row r="4">
      <c r="A4" s="3" t="inlineStr">
        <is>
          <t>HEADLINE COST COMPARISON</t>
        </is>
      </c>
    </row>
    <row r="5" ht="30" customHeight="1">
      <c r="A5" s="4" t="inlineStr">
        <is>
          <t>Metric</t>
        </is>
      </c>
      <c r="B5" s="4" t="inlineStr">
        <is>
          <t>Azure (current)</t>
        </is>
      </c>
      <c r="C5" s="4" t="inlineStr">
        <is>
          <t>NxtGen SpeedCloud</t>
        </is>
      </c>
      <c r="D5" s="4" t="inlineStr">
        <is>
          <t>Difference</t>
        </is>
      </c>
      <c r="E5" s="4" t="inlineStr">
        <is>
          <t>NxtGen / Azure</t>
        </is>
      </c>
      <c r="F5" s="4" t="inlineStr">
        <is>
          <t>Notes</t>
        </is>
      </c>
    </row>
    <row r="6">
      <c r="A6" s="5" t="inlineStr">
        <is>
          <t>Monthly Recurring (as-billed)</t>
        </is>
      </c>
      <c r="B6" s="34" t="n">
        <v>262897</v>
      </c>
      <c r="C6" s="34" t="n">
        <v>274620</v>
      </c>
      <c r="D6" s="34">
        <f>C6-B6</f>
        <v/>
      </c>
      <c r="E6" s="35">
        <f>C6/B6</f>
        <v/>
      </c>
      <c r="F6" s="8" t="inlineStr">
        <is>
          <t>NxtGen MRC bundles ₹1,55,375/mo managed services &amp; SOC that Azure's bill excludes</t>
        </is>
      </c>
    </row>
    <row r="7">
      <c r="A7" s="5" t="inlineStr">
        <is>
          <t>Annual Recurring</t>
        </is>
      </c>
      <c r="B7" s="34">
        <f>B6*12</f>
        <v/>
      </c>
      <c r="C7" s="34">
        <f>C6*12</f>
        <v/>
      </c>
      <c r="D7" s="34">
        <f>C7-B7</f>
        <v/>
      </c>
      <c r="E7" s="35">
        <f>C7/B7</f>
        <v/>
      </c>
      <c r="F7" s="8" t="inlineStr">
        <is>
          <t>12 × monthly recurring</t>
        </is>
      </c>
    </row>
    <row r="8">
      <c r="A8" s="5" t="inlineStr">
        <is>
          <t>One-time (setup)</t>
        </is>
      </c>
      <c r="B8" s="34" t="n">
        <v>0</v>
      </c>
      <c r="C8" s="34" t="n">
        <v>94720</v>
      </c>
      <c r="D8" s="34">
        <f>C8-B8</f>
        <v/>
      </c>
      <c r="E8" s="9" t="n"/>
      <c r="F8" s="8" t="inlineStr">
        <is>
          <t>NxtGen onboarding: VM/DB/firewall/vDC configuration</t>
        </is>
      </c>
    </row>
    <row r="10">
      <c r="A10" s="10" t="inlineStr">
        <is>
          <t>LIKE-FOR-LIKE — raw infrastructure + platform + perimeter security only (NxtGen managed services stripped out)</t>
        </is>
      </c>
    </row>
    <row r="11" ht="30" customHeight="1">
      <c r="A11" s="4" t="inlineStr">
        <is>
          <t>Scope (monthly)</t>
        </is>
      </c>
      <c r="B11" s="4" t="inlineStr">
        <is>
          <t>Azure (current)</t>
        </is>
      </c>
      <c r="C11" s="4" t="inlineStr">
        <is>
          <t>NxtGen infra+security</t>
        </is>
      </c>
      <c r="D11" s="4" t="inlineStr">
        <is>
          <t>Difference</t>
        </is>
      </c>
      <c r="E11" s="4" t="inlineStr">
        <is>
          <t>NxtGen / Azure</t>
        </is>
      </c>
      <c r="F11" s="4" t="inlineStr">
        <is>
          <t>Notes</t>
        </is>
      </c>
    </row>
    <row r="12">
      <c r="A12" s="5" t="inlineStr">
        <is>
          <t>Infra + Platform + Perimeter Security</t>
        </is>
      </c>
      <c r="B12" s="34" t="n">
        <v>262897</v>
      </c>
      <c r="C12" s="34" t="n">
        <v>119245</v>
      </c>
      <c r="D12" s="34">
        <f>C12-B12</f>
        <v/>
      </c>
      <c r="E12" s="36">
        <f>C12/B12-1</f>
        <v/>
      </c>
      <c r="F12" s="8" t="inlineStr">
        <is>
          <t>NxtGen ₹58,305 perimeter + ₹9,560 + ₹51,380 compute vs Azure full monthly bill</t>
        </is>
      </c>
    </row>
    <row r="14">
      <c r="A14" s="3" t="inlineStr">
        <is>
          <t>KEY FINDINGS</t>
        </is>
      </c>
    </row>
    <row r="15" ht="44" customHeight="1">
      <c r="A15" s="12" t="inlineStr">
        <is>
          <t>1.  As-billed, NxtGen (₹2,74,620/mo) is ~4.5% higher than Azure (₹2,62,897/mo) — but NxtGen bundles ₹1,55,375/mo of 24x7 managed services, managed databases and a full SOC (SIEM/SOAR/XDR) that Azure's bill does NOT include.</t>
        </is>
      </c>
    </row>
    <row r="16" ht="44" customHeight="1">
      <c r="A16" s="12" t="inlineStr">
        <is>
          <t>2.  On a like-for-like infrastructure + platform + perimeter-security basis, NxtGen is ₹1,19,245/mo vs Azure ₹2,62,897/mo — roughly 55% lower for the equivalent raw footprint.</t>
        </is>
      </c>
    </row>
    <row r="17" ht="44" customHeight="1">
      <c r="A17" s="12" t="inlineStr">
        <is>
          <t>3.  To match NxtGen's managed + SOC scope on Azure you must add a third-party MSP/SOC (typically ₹1.5-2.0 lakh/mo). Fully-managed Azure ≈ ₹4.1-4.6 lakh/mo vs NxtGen's all-in ₹2.75 lakh/mo.</t>
        </is>
      </c>
    </row>
    <row r="18" ht="44" customHeight="1">
      <c r="A18" s="12" t="inlineStr">
        <is>
          <t>4.  Azure's biggest lines: SQL Database ₹95,945/mo (37%), Front Door ₹32,398, Storage ₹29,368, Defender ₹26,863. NxtGen folds all 7 databases into a flat Managed Database service and includes DDoS-protected perimeter in the base price.</t>
        </is>
      </c>
    </row>
    <row r="19" ht="44" customHeight="1">
      <c r="A19" s="12" t="inlineStr">
        <is>
          <t>5.  NxtGen removes metered-usage surprises (egress, Front Door requests, per-resource Defender, Log Analytics ingestion) with predictable fixed pricing and no data-egress charges.</t>
        </is>
      </c>
    </row>
    <row r="20" ht="44" customHeight="1">
      <c r="A20" s="12" t="inlineStr">
        <is>
          <t>6.  Recommendation: migrate the production + Windows/SQL estate to NxtGen for a fully-managed, security-bundled private cloud at predictable cost; retain Azure only for Visual Studio developer subscriptions and Microsoft-PaaS-specific dependencies during transition.</t>
        </is>
      </c>
    </row>
  </sheetData>
  <mergeCells count="8">
    <mergeCell ref="A2:F2"/>
    <mergeCell ref="A16:F16"/>
    <mergeCell ref="A19:F19"/>
    <mergeCell ref="A1:F1"/>
    <mergeCell ref="A17:F17"/>
    <mergeCell ref="A18:F18"/>
    <mergeCell ref="A20:F20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58" customWidth="1" min="2" max="2"/>
    <col width="16" customWidth="1" min="3" max="3"/>
    <col width="12" customWidth="1" min="4" max="4"/>
  </cols>
  <sheetData>
    <row r="1" ht="28" customHeight="1">
      <c r="A1" s="1" t="inlineStr">
        <is>
          <t>Detailed Cost Comparison — Monthly (INR, ex-tax)</t>
        </is>
      </c>
    </row>
    <row r="2" ht="18" customHeight="1">
      <c r="A2" s="2" t="inlineStr">
        <is>
          <t>Azure = actual consumption May 2026 by service.  NxtGen = SpeedCloud proposal line items.</t>
        </is>
      </c>
    </row>
    <row r="4">
      <c r="A4" s="13" t="inlineStr">
        <is>
          <t>AZURE — CURRENT MONTHLY SPEND</t>
        </is>
      </c>
    </row>
    <row r="5" ht="30" customHeight="1">
      <c r="A5" s="14" t="inlineStr">
        <is>
          <t>Layer</t>
        </is>
      </c>
      <c r="B5" s="14" t="inlineStr">
        <is>
          <t>Azure Service</t>
        </is>
      </c>
      <c r="C5" s="14" t="inlineStr">
        <is>
          <t>Monthly INR</t>
        </is>
      </c>
      <c r="D5" s="14" t="inlineStr">
        <is>
          <t>% of total</t>
        </is>
      </c>
    </row>
    <row r="6">
      <c r="A6" s="15" t="inlineStr">
        <is>
          <t>IaaS</t>
        </is>
      </c>
      <c r="B6" s="15" t="inlineStr">
        <is>
          <t>Storage (managed disks, files, blob)</t>
        </is>
      </c>
      <c r="C6" s="34" t="n">
        <v>29367.94</v>
      </c>
      <c r="D6" s="35">
        <f>C6/$C$22</f>
        <v/>
      </c>
    </row>
    <row r="7">
      <c r="A7" s="15" t="inlineStr">
        <is>
          <t>IaaS</t>
        </is>
      </c>
      <c r="B7" s="15" t="inlineStr">
        <is>
          <t>NAT Gateway</t>
        </is>
      </c>
      <c r="C7" s="34" t="n">
        <v>4419.64</v>
      </c>
      <c r="D7" s="35">
        <f>C7/$C$22</f>
        <v/>
      </c>
    </row>
    <row r="8">
      <c r="A8" s="15" t="inlineStr">
        <is>
          <t>IaaS</t>
        </is>
      </c>
      <c r="B8" s="15" t="inlineStr">
        <is>
          <t>Virtual Machines (4 x Dasv5)</t>
        </is>
      </c>
      <c r="C8" s="34" t="n">
        <v>4133.16</v>
      </c>
      <c r="D8" s="35">
        <f>C8/$C$22</f>
        <v/>
      </c>
    </row>
    <row r="9">
      <c r="A9" s="15" t="inlineStr">
        <is>
          <t>IaaS</t>
        </is>
      </c>
      <c r="B9" s="15" t="inlineStr">
        <is>
          <t>Virtual Network / IP addresses</t>
        </is>
      </c>
      <c r="C9" s="34" t="n">
        <v>1406.89</v>
      </c>
      <c r="D9" s="35">
        <f>C9/$C$22</f>
        <v/>
      </c>
    </row>
    <row r="10">
      <c r="A10" s="15" t="inlineStr">
        <is>
          <t>IaaS</t>
        </is>
      </c>
      <c r="B10" s="15" t="inlineStr">
        <is>
          <t>Azure DNS</t>
        </is>
      </c>
      <c r="C10" s="34" t="n">
        <v>94.55</v>
      </c>
      <c r="D10" s="35">
        <f>C10/$C$22</f>
        <v/>
      </c>
    </row>
    <row r="11">
      <c r="A11" s="15" t="inlineStr">
        <is>
          <t>IaaS</t>
        </is>
      </c>
      <c r="B11" s="15" t="inlineStr">
        <is>
          <t>Bandwidth (egress)</t>
        </is>
      </c>
      <c r="C11" s="34" t="n">
        <v>89.23</v>
      </c>
      <c r="D11" s="35">
        <f>C11/$C$22</f>
        <v/>
      </c>
    </row>
    <row r="12">
      <c r="A12" s="15" t="inlineStr">
        <is>
          <t>PaaS</t>
        </is>
      </c>
      <c r="B12" s="15" t="inlineStr">
        <is>
          <t>SQL Database (7 databases)</t>
        </is>
      </c>
      <c r="C12" s="34" t="n">
        <v>95945.35000000001</v>
      </c>
      <c r="D12" s="35">
        <f>C12/$C$22</f>
        <v/>
      </c>
    </row>
    <row r="13">
      <c r="A13" s="15" t="inlineStr">
        <is>
          <t>PaaS</t>
        </is>
      </c>
      <c r="B13" s="15" t="inlineStr">
        <is>
          <t>Azure Front Door (CDN / WAF)</t>
        </is>
      </c>
      <c r="C13" s="34" t="n">
        <v>32398.42</v>
      </c>
      <c r="D13" s="35">
        <f>C13/$C$22</f>
        <v/>
      </c>
    </row>
    <row r="14">
      <c r="A14" s="15" t="inlineStr">
        <is>
          <t>PaaS</t>
        </is>
      </c>
      <c r="B14" s="15" t="inlineStr">
        <is>
          <t>Azure Database for MySQL (2 servers)</t>
        </is>
      </c>
      <c r="C14" s="34" t="n">
        <v>18959.57</v>
      </c>
      <c r="D14" s="35">
        <f>C14/$C$22</f>
        <v/>
      </c>
    </row>
    <row r="15">
      <c r="A15" s="15" t="inlineStr">
        <is>
          <t>PaaS</t>
        </is>
      </c>
      <c r="B15" s="15" t="inlineStr">
        <is>
          <t>Log Analytics</t>
        </is>
      </c>
      <c r="C15" s="34" t="n">
        <v>8822.049999999999</v>
      </c>
      <c r="D15" s="35">
        <f>C15/$C$22</f>
        <v/>
      </c>
    </row>
    <row r="16">
      <c r="A16" s="15" t="inlineStr">
        <is>
          <t>PaaS</t>
        </is>
      </c>
      <c r="B16" s="15" t="inlineStr">
        <is>
          <t>Azure App Service (Premium v2, Linux)</t>
        </is>
      </c>
      <c r="C16" s="34" t="n">
        <v>8030.03</v>
      </c>
      <c r="D16" s="35">
        <f>C16/$C$22</f>
        <v/>
      </c>
    </row>
    <row r="17">
      <c r="A17" s="15" t="inlineStr">
        <is>
          <t>PaaS</t>
        </is>
      </c>
      <c r="B17" s="15" t="inlineStr">
        <is>
          <t>Backup</t>
        </is>
      </c>
      <c r="C17" s="34" t="n">
        <v>6348.9</v>
      </c>
      <c r="D17" s="35">
        <f>C17/$C$22</f>
        <v/>
      </c>
    </row>
    <row r="18">
      <c r="A18" s="15" t="inlineStr">
        <is>
          <t>PaaS</t>
        </is>
      </c>
      <c r="B18" s="15" t="inlineStr">
        <is>
          <t>Azure Monitor</t>
        </is>
      </c>
      <c r="C18" s="34" t="n">
        <v>702.71</v>
      </c>
      <c r="D18" s="35">
        <f>C18/$C$22</f>
        <v/>
      </c>
    </row>
    <row r="19">
      <c r="A19" s="15" t="inlineStr">
        <is>
          <t>PaaS</t>
        </is>
      </c>
      <c r="B19" s="15" t="inlineStr">
        <is>
          <t>Key Vault / Logic Apps / Service Bus</t>
        </is>
      </c>
      <c r="C19" s="34" t="n">
        <v>0.22</v>
      </c>
      <c r="D19" s="35">
        <f>C19/$C$22</f>
        <v/>
      </c>
    </row>
    <row r="20">
      <c r="A20" s="15" t="inlineStr">
        <is>
          <t>SaaS/Security</t>
        </is>
      </c>
      <c r="B20" s="15" t="inlineStr">
        <is>
          <t>Microsoft Defender for Cloud</t>
        </is>
      </c>
      <c r="C20" s="34" t="n">
        <v>26863.18</v>
      </c>
      <c r="D20" s="35">
        <f>C20/$C$22</f>
        <v/>
      </c>
    </row>
    <row r="21">
      <c r="A21" s="15" t="inlineStr">
        <is>
          <t>SaaS/Licence</t>
        </is>
      </c>
      <c r="B21" s="15" t="inlineStr">
        <is>
          <t>Visual Studio Subscriptions</t>
        </is>
      </c>
      <c r="C21" s="34" t="n">
        <v>25315.43</v>
      </c>
      <c r="D21" s="35">
        <f>C21/$C$22</f>
        <v/>
      </c>
    </row>
    <row r="22">
      <c r="A22" s="16" t="inlineStr">
        <is>
          <t>AZURE TOTAL / MONTH</t>
        </is>
      </c>
      <c r="B22" s="17" t="n"/>
      <c r="C22" s="37">
        <f>SUM(C6:C21)</f>
        <v/>
      </c>
      <c r="D22" s="17" t="n"/>
    </row>
    <row r="24">
      <c r="A24" s="19" t="inlineStr">
        <is>
          <t>NXTGEN SPEEDCLOUD — PROPOSED MONTHLY</t>
        </is>
      </c>
    </row>
    <row r="25" ht="30" customHeight="1">
      <c r="A25" s="20" t="inlineStr">
        <is>
          <t>Layer</t>
        </is>
      </c>
      <c r="B25" s="20" t="inlineStr">
        <is>
          <t>NxtGen Service</t>
        </is>
      </c>
      <c r="C25" s="20" t="inlineStr">
        <is>
          <t>Monthly INR</t>
        </is>
      </c>
      <c r="D25" s="20" t="inlineStr">
        <is>
          <t>% of total</t>
        </is>
      </c>
    </row>
    <row r="26">
      <c r="A26" s="15" t="inlineStr">
        <is>
          <t>IaaS/Security</t>
        </is>
      </c>
      <c r="B26" s="15" t="inlineStr">
        <is>
          <t>Perimeter: 5 Public IPs + NxtGen Firewall 1G + 25 Mbps DDoS-protected transfer</t>
        </is>
      </c>
      <c r="C26" s="34" t="n">
        <v>58305</v>
      </c>
      <c r="D26" s="35">
        <f>C26/$C$36</f>
        <v/>
      </c>
    </row>
    <row r="27">
      <c r="A27" s="15" t="inlineStr">
        <is>
          <t>IaaS</t>
        </is>
      </c>
      <c r="B27" s="15" t="inlineStr">
        <is>
          <t>Compute Cluster A (Linux): 4 vCPU, 16 GB, 100 GB NVMe</t>
        </is>
      </c>
      <c r="C27" s="34" t="n">
        <v>9560</v>
      </c>
      <c r="D27" s="35">
        <f>C27/$C$36</f>
        <v/>
      </c>
    </row>
    <row r="28">
      <c r="A28" s="15" t="inlineStr">
        <is>
          <t>IaaS</t>
        </is>
      </c>
      <c r="B28" s="15" t="inlineStr">
        <is>
          <t>Compute Cluster B (Win/SQL): 14 vCPU, 56 GB, 1.4 TB NVMe + Win &amp; MS-SQL licences</t>
        </is>
      </c>
      <c r="C28" s="34" t="n">
        <v>51380</v>
      </c>
      <c r="D28" s="35">
        <f>C28/$C$36</f>
        <v/>
      </c>
    </row>
    <row r="29">
      <c r="A29" s="15" t="inlineStr">
        <is>
          <t>Managed/PaaS</t>
        </is>
      </c>
      <c r="B29" s="15" t="inlineStr">
        <is>
          <t>Managed Database (7 databases, fully managed)</t>
        </is>
      </c>
      <c r="C29" s="34" t="n">
        <v>84000</v>
      </c>
      <c r="D29" s="35">
        <f>C29/$C$36</f>
        <v/>
      </c>
    </row>
    <row r="30">
      <c r="A30" s="15" t="inlineStr">
        <is>
          <t>Managed/SaaS</t>
        </is>
      </c>
      <c r="B30" s="15" t="inlineStr">
        <is>
          <t>Auto Intelli Dashboard (5 VMs)</t>
        </is>
      </c>
      <c r="C30" s="34" t="n">
        <v>37500</v>
      </c>
      <c r="D30" s="35">
        <f>C30/$C$36</f>
        <v/>
      </c>
    </row>
    <row r="31">
      <c r="A31" s="15" t="inlineStr">
        <is>
          <t>Managed</t>
        </is>
      </c>
      <c r="B31" s="15" t="inlineStr">
        <is>
          <t>Managed VM (5)</t>
        </is>
      </c>
      <c r="C31" s="34" t="n">
        <v>11700</v>
      </c>
      <c r="D31" s="35">
        <f>C31/$C$36</f>
        <v/>
      </c>
    </row>
    <row r="32">
      <c r="A32" s="15" t="inlineStr">
        <is>
          <t>Managed</t>
        </is>
      </c>
      <c r="B32" s="15" t="inlineStr">
        <is>
          <t>Managed OS (5)</t>
        </is>
      </c>
      <c r="C32" s="34" t="n">
        <v>8775</v>
      </c>
      <c r="D32" s="35">
        <f>C32/$C$36</f>
        <v/>
      </c>
    </row>
    <row r="33">
      <c r="A33" s="15" t="inlineStr">
        <is>
          <t>Security</t>
        </is>
      </c>
      <c r="B33" s="15" t="inlineStr">
        <is>
          <t>NxtGen SIEM (1 GB)</t>
        </is>
      </c>
      <c r="C33" s="34" t="n">
        <v>7150</v>
      </c>
      <c r="D33" s="35">
        <f>C33/$C$36</f>
        <v/>
      </c>
    </row>
    <row r="34">
      <c r="A34" s="15" t="inlineStr">
        <is>
          <t>Security</t>
        </is>
      </c>
      <c r="B34" s="15" t="inlineStr">
        <is>
          <t>NxtGen SOAR add-on</t>
        </is>
      </c>
      <c r="C34" s="34" t="n">
        <v>3250</v>
      </c>
      <c r="D34" s="35">
        <f>C34/$C$36</f>
        <v/>
      </c>
    </row>
    <row r="35">
      <c r="A35" s="15" t="inlineStr">
        <is>
          <t>Security</t>
        </is>
      </c>
      <c r="B35" s="15" t="inlineStr">
        <is>
          <t>XDRShield (5 VMs)</t>
        </is>
      </c>
      <c r="C35" s="34" t="n">
        <v>3000</v>
      </c>
      <c r="D35" s="35">
        <f>C35/$C$36</f>
        <v/>
      </c>
    </row>
    <row r="36">
      <c r="A36" s="16" t="inlineStr">
        <is>
          <t>NXTGEN TOTAL / MONTH</t>
        </is>
      </c>
      <c r="B36" s="17" t="n"/>
      <c r="C36" s="37">
        <f>SUM(C26:C35)</f>
        <v/>
      </c>
      <c r="D36" s="17" t="n"/>
    </row>
    <row r="37">
      <c r="B37" s="5" t="inlineStr">
        <is>
          <t>NxtGen One-time (setup)</t>
        </is>
      </c>
      <c r="C37" s="38" t="n">
        <v>94720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44" customWidth="1" min="3" max="3"/>
    <col width="13" customWidth="1" min="4" max="4"/>
    <col width="13" customWidth="1" min="5" max="5"/>
  </cols>
  <sheetData>
    <row r="1" ht="28" customHeight="1">
      <c r="A1" s="1" t="inlineStr">
        <is>
          <t>IaaS Comparison — Compute, Storage, Network, Perimeter</t>
        </is>
      </c>
    </row>
    <row r="2" ht="18" customHeight="1">
      <c r="A2" s="2" t="inlineStr">
        <is>
          <t>Infrastructure-as-a-Service: how the current Azure footprint maps to the NxtGen SpeedCloud private-cloud design.</t>
        </is>
      </c>
    </row>
    <row r="4" ht="30" customHeight="1">
      <c r="A4" s="4" t="inlineStr">
        <is>
          <t>Capability</t>
        </is>
      </c>
      <c r="B4" s="4" t="inlineStr">
        <is>
          <t>Microsoft Azure (Public Cloud)</t>
        </is>
      </c>
      <c r="C4" s="4" t="inlineStr">
        <is>
          <t>NxtGen SpeedCloud (Private Cloud)</t>
        </is>
      </c>
      <c r="D4" s="4" t="inlineStr">
        <is>
          <t>Azure ₹/mo</t>
        </is>
      </c>
      <c r="E4" s="4" t="inlineStr">
        <is>
          <t>NxtGen ₹/mo</t>
        </is>
      </c>
    </row>
    <row r="5" ht="42" customHeight="1">
      <c r="A5" s="5" t="inlineStr">
        <is>
          <t>Compute</t>
        </is>
      </c>
      <c r="B5" s="22" t="inlineStr">
        <is>
          <t>4 x Dasv5 VMs (shared multi-tenant hosts), pay-as-you-go</t>
        </is>
      </c>
      <c r="C5" s="22" t="inlineStr">
        <is>
          <t>18 vCPU / 72 GB across 2 dedicated clusters (1:4 vCore), single-tenant</t>
        </is>
      </c>
      <c r="D5" s="34" t="n">
        <v>4133</v>
      </c>
      <c r="E5" s="34" t="n">
        <v>60940</v>
      </c>
    </row>
    <row r="6" ht="42" customHeight="1">
      <c r="A6" s="5" t="inlineStr">
        <is>
          <t>Block storage</t>
        </is>
      </c>
      <c r="B6" s="22" t="inlineStr">
        <is>
          <t>Standard/Premium SSD managed disks, metered per GB + IOPS</t>
        </is>
      </c>
      <c r="C6" s="22" t="inlineStr">
        <is>
          <t>All-NVMe storage bundled with compute, no separate IOPS meter</t>
        </is>
      </c>
      <c r="D6" s="34" t="n">
        <v>29368</v>
      </c>
      <c r="E6" s="34" t="n">
        <v>0</v>
      </c>
    </row>
    <row r="7" ht="42" customHeight="1">
      <c r="A7" s="5" t="inlineStr">
        <is>
          <t>Network / egress</t>
        </is>
      </c>
      <c r="B7" s="22" t="inlineStr">
        <is>
          <t>VNet + NAT Gateway + metered data egress</t>
        </is>
      </c>
      <c r="C7" s="22" t="inlineStr">
        <is>
          <t>Software-defined virtual datacentre, no egress charges</t>
        </is>
      </c>
      <c r="D7" s="34" t="n">
        <v>5916</v>
      </c>
      <c r="E7" s="34" t="n">
        <v>0</v>
      </c>
    </row>
    <row r="8" ht="42" customHeight="1">
      <c r="A8" s="5" t="inlineStr">
        <is>
          <t>Perimeter / firewall</t>
        </is>
      </c>
      <c r="B8" s="22" t="inlineStr">
        <is>
          <t>NSGs; Azure Firewall / DDoS billed separately (not deployed)</t>
        </is>
      </c>
      <c r="C8" s="22" t="inlineStr">
        <is>
          <t>NxtGen Firewall 1G + DDoS-protected 25 Mbps transfer + 5 Public IPs</t>
        </is>
      </c>
      <c r="D8" s="34" t="n">
        <v>0</v>
      </c>
      <c r="E8" s="34" t="n">
        <v>58305</v>
      </c>
    </row>
    <row r="9" ht="42" customHeight="1">
      <c r="A9" s="5" t="inlineStr">
        <is>
          <t>Public IP / DNS</t>
        </is>
      </c>
      <c r="B9" s="22" t="inlineStr">
        <is>
          <t>Azure DNS + public IPs, metered</t>
        </is>
      </c>
      <c r="C9" s="22" t="inlineStr">
        <is>
          <t>5 Public IPv4 included</t>
        </is>
      </c>
      <c r="D9" s="34" t="n">
        <v>95</v>
      </c>
      <c r="E9" s="34" t="n">
        <v>0</v>
      </c>
    </row>
    <row r="10" ht="42" customHeight="1">
      <c r="A10" s="5" t="inlineStr">
        <is>
          <t>Tenancy model</t>
        </is>
      </c>
      <c r="B10" s="22" t="inlineStr">
        <is>
          <t>Multi-tenant hyperscale regions (Central India)</t>
        </is>
      </c>
      <c r="C10" s="22" t="inlineStr">
        <is>
          <t>Single-tenant private cloud in NxtGen India DC (data residency)</t>
        </is>
      </c>
      <c r="D10" s="9" t="inlineStr">
        <is>
          <t>—</t>
        </is>
      </c>
      <c r="E10" s="9" t="inlineStr">
        <is>
          <t>—</t>
        </is>
      </c>
    </row>
    <row r="11">
      <c r="A11" s="16" t="inlineStr">
        <is>
          <t>IaaS SUBTOTAL / MONTH</t>
        </is>
      </c>
      <c r="B11" s="16" t="n"/>
      <c r="C11" s="16" t="n"/>
      <c r="D11" s="37">
        <f>SUM(D5:D10)</f>
        <v/>
      </c>
      <c r="E11" s="37">
        <f>SUM(E5:E10)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4" customWidth="1" min="3" max="3"/>
    <col width="13" customWidth="1" min="4" max="4"/>
    <col width="13" customWidth="1" min="5" max="5"/>
  </cols>
  <sheetData>
    <row r="1" ht="28" customHeight="1">
      <c r="A1" s="1" t="inlineStr">
        <is>
          <t>PaaS Comparison — Databases, App Platform, Integration, Observability</t>
        </is>
      </c>
    </row>
    <row r="2" ht="18" customHeight="1">
      <c r="A2" s="2" t="inlineStr">
        <is>
          <t>Platform-as-a-Service: managed data and application services.</t>
        </is>
      </c>
    </row>
    <row r="4" ht="30" customHeight="1">
      <c r="A4" s="4" t="inlineStr">
        <is>
          <t>Capability</t>
        </is>
      </c>
      <c r="B4" s="4" t="inlineStr">
        <is>
          <t>Microsoft Azure</t>
        </is>
      </c>
      <c r="C4" s="4" t="inlineStr">
        <is>
          <t>NxtGen SpeedCloud</t>
        </is>
      </c>
      <c r="D4" s="4" t="inlineStr">
        <is>
          <t>Azure ₹/mo</t>
        </is>
      </c>
      <c r="E4" s="4" t="inlineStr">
        <is>
          <t>NxtGen ₹/mo</t>
        </is>
      </c>
    </row>
    <row r="5" ht="42" customHeight="1">
      <c r="A5" s="5" t="inlineStr">
        <is>
          <t>Relational DB (SQL Server)</t>
        </is>
      </c>
      <c r="B5" s="22" t="inlineStr">
        <is>
          <t>Azure SQL Database — 7 single DBs (Std/Basic), metered DTU + storage</t>
        </is>
      </c>
      <c r="C5" s="22" t="inlineStr">
        <is>
          <t>Managed MS SQL on NVMe (7 DBs) + fully managed DB service (patch, backup, HA, tuning)</t>
        </is>
      </c>
      <c r="D5" s="34" t="n">
        <v>95945</v>
      </c>
      <c r="E5" s="34" t="n">
        <v>91700</v>
      </c>
    </row>
    <row r="6" ht="42" customHeight="1">
      <c r="A6" s="5" t="inlineStr">
        <is>
          <t>Open-source DB (MySQL)</t>
        </is>
      </c>
      <c r="B6" s="22" t="inlineStr">
        <is>
          <t>Azure DB for MySQL Flexible Server (2 x Burstable)</t>
        </is>
      </c>
      <c r="C6" s="22" t="inlineStr">
        <is>
          <t>Managed MySQL included in Managed Database service</t>
        </is>
      </c>
      <c r="D6" s="23" t="inlineStr">
        <is>
          <t>(in above)</t>
        </is>
      </c>
      <c r="E6" s="23" t="inlineStr">
        <is>
          <t>(in above)</t>
        </is>
      </c>
    </row>
    <row r="7" ht="42" customHeight="1">
      <c r="A7" s="5" t="inlineStr">
        <is>
          <t>Application platform</t>
        </is>
      </c>
      <c r="B7" s="22" t="inlineStr">
        <is>
          <t>App Service Premium v2 (Linux) app plans</t>
        </is>
      </c>
      <c r="C7" s="22" t="inlineStr">
        <is>
          <t>Application infra on dedicated compute clusters (containers/VMs)</t>
        </is>
      </c>
      <c r="D7" s="34" t="n">
        <v>8030</v>
      </c>
      <c r="E7" s="23" t="inlineStr">
        <is>
          <t>(in IaaS)</t>
        </is>
      </c>
    </row>
    <row r="8" ht="42" customHeight="1">
      <c r="A8" s="5" t="inlineStr">
        <is>
          <t>CDN / WAF / edge</t>
        </is>
      </c>
      <c r="B8" s="22" t="inlineStr">
        <is>
          <t>Azure Front Door (metered requests + data)</t>
        </is>
      </c>
      <c r="C8" s="22" t="inlineStr">
        <is>
          <t>Delivered via perimeter firewall + DDoS transfer; CDN optional add-on</t>
        </is>
      </c>
      <c r="D8" s="34" t="n">
        <v>32398</v>
      </c>
      <c r="E8" s="23" t="inlineStr">
        <is>
          <t>(in perimeter)</t>
        </is>
      </c>
    </row>
    <row r="9" ht="42" customHeight="1">
      <c r="A9" s="5" t="inlineStr">
        <is>
          <t>Backup / DR</t>
        </is>
      </c>
      <c r="B9" s="22" t="inlineStr">
        <is>
          <t>Azure Backup vault, metered</t>
        </is>
      </c>
      <c r="C9" s="22" t="inlineStr">
        <is>
          <t>Managed backup included in Managed VM/DB services</t>
        </is>
      </c>
      <c r="D9" s="34" t="n">
        <v>6349</v>
      </c>
      <c r="E9" s="23" t="inlineStr">
        <is>
          <t>(in managed)</t>
        </is>
      </c>
    </row>
    <row r="10" ht="42" customHeight="1">
      <c r="A10" s="5" t="inlineStr">
        <is>
          <t>Observability</t>
        </is>
      </c>
      <c r="B10" s="22" t="inlineStr">
        <is>
          <t>Log Analytics + Azure Monitor (ingestion-metered)</t>
        </is>
      </c>
      <c r="C10" s="22" t="inlineStr">
        <is>
          <t>Auto Intelli Dashboard — unified monitoring &amp; analytics per VM</t>
        </is>
      </c>
      <c r="D10" s="34" t="n">
        <v>9525</v>
      </c>
      <c r="E10" s="34" t="n">
        <v>37500</v>
      </c>
    </row>
    <row r="11" ht="42" customHeight="1">
      <c r="A11" s="5" t="inlineStr">
        <is>
          <t>Integration</t>
        </is>
      </c>
      <c r="B11" s="22" t="inlineStr">
        <is>
          <t>Logic Apps / Service Bus / Event Grid (near-zero use)</t>
        </is>
      </c>
      <c r="C11" s="22" t="inlineStr">
        <is>
          <t>Available on request</t>
        </is>
      </c>
      <c r="D11" s="23" t="inlineStr">
        <is>
          <t>0</t>
        </is>
      </c>
      <c r="E11" s="23" t="inlineStr">
        <is>
          <t>—</t>
        </is>
      </c>
    </row>
    <row r="12" ht="42" customHeight="1">
      <c r="A12" s="5" t="inlineStr">
        <is>
          <t>Secrets</t>
        </is>
      </c>
      <c r="B12" s="22" t="inlineStr">
        <is>
          <t>Azure Key Vault</t>
        </is>
      </c>
      <c r="C12" s="22" t="inlineStr">
        <is>
          <t>Managed secrets / HSM option</t>
        </is>
      </c>
      <c r="D12" s="23" t="inlineStr">
        <is>
          <t>0</t>
        </is>
      </c>
      <c r="E12" s="23" t="inlineStr">
        <is>
          <t>—</t>
        </is>
      </c>
    </row>
    <row r="13">
      <c r="A13" s="16" t="inlineStr">
        <is>
          <t>Metered PaaS SUBTOTAL / MONTH (numeric lines)</t>
        </is>
      </c>
      <c r="B13" s="16" t="n"/>
      <c r="C13" s="16" t="n"/>
      <c r="D13" s="37">
        <f>SUM(D5:D12)</f>
        <v/>
      </c>
      <c r="E13" s="37">
        <f>SUM(E5:E12)</f>
        <v/>
      </c>
    </row>
    <row r="14" ht="28" customHeight="1">
      <c r="A14" s="2" t="inlineStr">
        <is>
          <t>Note: NxtGen consolidates all databases into one flat Managed Database line (₹84,000) plus MS-SQL licences in compute; Azure meters each DB, storage and DR separately.</t>
        </is>
      </c>
    </row>
  </sheetData>
  <mergeCells count="3">
    <mergeCell ref="A2:E2"/>
    <mergeCell ref="A1:E1"/>
    <mergeCell ref="A14:E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44" customWidth="1" min="3" max="3"/>
    <col width="13" customWidth="1" min="4" max="4"/>
    <col width="13" customWidth="1" min="5" max="5"/>
  </cols>
  <sheetData>
    <row r="1" ht="28" customHeight="1">
      <c r="A1" s="1" t="inlineStr">
        <is>
          <t>SaaS, Managed Services &amp; Security Comparison</t>
        </is>
      </c>
    </row>
    <row r="2" ht="18" customHeight="1">
      <c r="A2" s="2" t="inlineStr">
        <is>
          <t>Software-as-a-Service, 24x7 managed operations and security operations (SOC).</t>
        </is>
      </c>
    </row>
    <row r="4" ht="30" customHeight="1">
      <c r="A4" s="4" t="inlineStr">
        <is>
          <t>Capability</t>
        </is>
      </c>
      <c r="B4" s="4" t="inlineStr">
        <is>
          <t>Microsoft Azure</t>
        </is>
      </c>
      <c r="C4" s="4" t="inlineStr">
        <is>
          <t>NxtGen SpeedCloud</t>
        </is>
      </c>
      <c r="D4" s="4" t="inlineStr">
        <is>
          <t>Azure ₹/mo</t>
        </is>
      </c>
      <c r="E4" s="4" t="inlineStr">
        <is>
          <t>NxtGen ₹/mo</t>
        </is>
      </c>
    </row>
    <row r="5" ht="40" customHeight="1">
      <c r="A5" s="5" t="inlineStr">
        <is>
          <t>Cloud security posture</t>
        </is>
      </c>
      <c r="B5" s="22" t="inlineStr">
        <is>
          <t>Microsoft Defender for Cloud (CSPM + per-resource plans)</t>
        </is>
      </c>
      <c r="C5" s="22" t="inlineStr">
        <is>
          <t>XDRShield endpoint/workload protection across VMs</t>
        </is>
      </c>
      <c r="D5" s="34" t="n">
        <v>26863</v>
      </c>
      <c r="E5" s="34" t="n">
        <v>3000</v>
      </c>
    </row>
    <row r="6" ht="40" customHeight="1">
      <c r="A6" s="5" t="inlineStr">
        <is>
          <t>SIEM</t>
        </is>
      </c>
      <c r="B6" s="22" t="inlineStr">
        <is>
          <t>Not deployed (Sentinel would be extra)</t>
        </is>
      </c>
      <c r="C6" s="22" t="inlineStr">
        <is>
          <t>NxtGen SIEM (managed, 1 GB) — log correlation &amp; threat detection</t>
        </is>
      </c>
      <c r="D6" s="23" t="inlineStr">
        <is>
          <t>0</t>
        </is>
      </c>
      <c r="E6" s="34" t="n">
        <v>7150</v>
      </c>
    </row>
    <row r="7" ht="40" customHeight="1">
      <c r="A7" s="5" t="inlineStr">
        <is>
          <t>SOAR</t>
        </is>
      </c>
      <c r="B7" s="22" t="inlineStr">
        <is>
          <t>Not deployed</t>
        </is>
      </c>
      <c r="C7" s="22" t="inlineStr">
        <is>
          <t>NxtGen SOAR add-on — automated response playbooks</t>
        </is>
      </c>
      <c r="D7" s="23" t="inlineStr">
        <is>
          <t>0</t>
        </is>
      </c>
      <c r="E7" s="34" t="n">
        <v>3250</v>
      </c>
    </row>
    <row r="8" ht="40" customHeight="1">
      <c r="A8" s="5" t="inlineStr">
        <is>
          <t>24x7 Managed OS</t>
        </is>
      </c>
      <c r="B8" s="22" t="inlineStr">
        <is>
          <t>Customer-managed (or 3rd-party MSP, extra)</t>
        </is>
      </c>
      <c r="C8" s="22" t="inlineStr">
        <is>
          <t>Managed OS — patching, hardening, monitoring (5 VMs)</t>
        </is>
      </c>
      <c r="D8" s="23" t="inlineStr">
        <is>
          <t>0</t>
        </is>
      </c>
      <c r="E8" s="34" t="n">
        <v>8775</v>
      </c>
    </row>
    <row r="9" ht="40" customHeight="1">
      <c r="A9" s="5" t="inlineStr">
        <is>
          <t>24x7 Managed VM</t>
        </is>
      </c>
      <c r="B9" s="22" t="inlineStr">
        <is>
          <t>Customer-managed</t>
        </is>
      </c>
      <c r="C9" s="22" t="inlineStr">
        <is>
          <t>Managed VM — lifecycle, capacity, availability (5 VMs)</t>
        </is>
      </c>
      <c r="D9" s="23" t="inlineStr">
        <is>
          <t>0</t>
        </is>
      </c>
      <c r="E9" s="34" t="n">
        <v>11700</v>
      </c>
    </row>
    <row r="10" ht="40" customHeight="1">
      <c r="A10" s="5" t="inlineStr">
        <is>
          <t>Managed Database Ops</t>
        </is>
      </c>
      <c r="B10" s="22" t="inlineStr">
        <is>
          <t>Customer/DBA-managed</t>
        </is>
      </c>
      <c r="C10" s="22" t="inlineStr">
        <is>
          <t>Managed Database — 24x7 DBA, tuning, backup, HA (7 DBs)</t>
        </is>
      </c>
      <c r="D10" s="23" t="inlineStr">
        <is>
          <t>0</t>
        </is>
      </c>
      <c r="E10" s="34" t="n">
        <v>84000</v>
      </c>
    </row>
    <row r="11" ht="40" customHeight="1">
      <c r="A11" s="5" t="inlineStr">
        <is>
          <t>Ops dashboard / AIOps</t>
        </is>
      </c>
      <c r="B11" s="22" t="inlineStr">
        <is>
          <t>Azure Monitor dashboards (self-built)</t>
        </is>
      </c>
      <c r="C11" s="22" t="inlineStr">
        <is>
          <t>Auto Intelli Dashboard — AIOps insights per VM</t>
        </is>
      </c>
      <c r="D11" s="23" t="inlineStr">
        <is>
          <t>(in PaaS)</t>
        </is>
      </c>
      <c r="E11" s="34" t="n">
        <v>37500</v>
      </c>
    </row>
    <row r="12" ht="40" customHeight="1">
      <c r="A12" s="5" t="inlineStr">
        <is>
          <t>Developer tooling</t>
        </is>
      </c>
      <c r="B12" s="22" t="inlineStr">
        <is>
          <t>Visual Studio Subscriptions</t>
        </is>
      </c>
      <c r="C12" s="22" t="inlineStr">
        <is>
          <t>Retain on Azure / bring-your-own licences</t>
        </is>
      </c>
      <c r="D12" s="34" t="n">
        <v>25315</v>
      </c>
      <c r="E12" s="23" t="inlineStr">
        <is>
          <t>—</t>
        </is>
      </c>
    </row>
    <row r="13" ht="40" customHeight="1">
      <c r="A13" s="5" t="inlineStr">
        <is>
          <t>Managed SOC</t>
        </is>
      </c>
      <c r="B13" s="22" t="inlineStr">
        <is>
          <t>Not included</t>
        </is>
      </c>
      <c r="C13" s="22" t="inlineStr">
        <is>
          <t>Included — SIEM+SOAR+XDR operated by NxtGen SOC</t>
        </is>
      </c>
      <c r="D13" s="23" t="inlineStr">
        <is>
          <t>0</t>
        </is>
      </c>
      <c r="E13" s="23" t="inlineStr">
        <is>
          <t>(above)</t>
        </is>
      </c>
    </row>
    <row r="14">
      <c r="A14" s="16" t="inlineStr">
        <is>
          <t>SUBTOTAL / MONTH (numeric lines)</t>
        </is>
      </c>
      <c r="B14" s="16" t="n"/>
      <c r="C14" s="16" t="n"/>
      <c r="D14" s="37">
        <f>SUM(D5:D13)</f>
        <v/>
      </c>
      <c r="E14" s="37">
        <f>SUM(E5:E13)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22" customWidth="1" min="3" max="3"/>
    <col width="10" customWidth="1" min="4" max="4"/>
  </cols>
  <sheetData>
    <row r="1" ht="28" customHeight="1">
      <c r="A1" s="1" t="inlineStr">
        <is>
          <t>Migration Benefits &amp; Cost-Optimisation Options (Azure → NxtGen)</t>
        </is>
      </c>
    </row>
    <row r="2" ht="18" customHeight="1">
      <c r="A2" s="2" t="inlineStr">
        <is>
          <t>What you gain by moving the estate, and levers to reduce cost further.</t>
        </is>
      </c>
    </row>
    <row r="4">
      <c r="A4" s="24" t="inlineStr">
        <is>
          <t>A.  BENEFITS OF MOVING TO NXTGEN</t>
        </is>
      </c>
    </row>
    <row r="5" ht="30" customHeight="1">
      <c r="A5" s="25" t="inlineStr">
        <is>
          <t>Benefit</t>
        </is>
      </c>
      <c r="B5" s="25" t="inlineStr">
        <is>
          <t>What it means for Inches Healthcare</t>
        </is>
      </c>
      <c r="C5" s="25" t="inlineStr">
        <is>
          <t>Impact</t>
        </is>
      </c>
      <c r="D5" s="25" t="inlineStr"/>
    </row>
    <row r="6" ht="44" customHeight="1">
      <c r="A6" s="26" t="inlineStr">
        <is>
          <t>Predictable flat billing</t>
        </is>
      </c>
      <c r="B6" s="27" t="inlineStr">
        <is>
          <t>Fixed monthly price replaces per-hour/per-GB/per-request metering (egress, Front Door, Defender, Log Analytics).</t>
        </is>
      </c>
      <c r="C6" s="28" t="inlineStr">
        <is>
          <t>Budget certainty; no bill shocks</t>
        </is>
      </c>
      <c r="D6" s="39" t="n"/>
    </row>
    <row r="7" ht="44" customHeight="1">
      <c r="A7" s="26" t="inlineStr">
        <is>
          <t>Fully-managed operations</t>
        </is>
      </c>
      <c r="B7" s="27" t="inlineStr">
        <is>
          <t>24x7 Managed OS, VM and Database, plus AIOps dashboard bundled in.</t>
        </is>
      </c>
      <c r="C7" s="28" t="inlineStr">
        <is>
          <t>Frees internal team; no separate MSP</t>
        </is>
      </c>
      <c r="D7" s="39" t="n"/>
    </row>
    <row r="8" ht="44" customHeight="1">
      <c r="A8" s="26" t="inlineStr">
        <is>
          <t>Bundled enterprise security</t>
        </is>
      </c>
      <c r="B8" s="27" t="inlineStr">
        <is>
          <t>Firewall + DDoS + SIEM + SOAR + XDR + managed SOC in base price.</t>
        </is>
      </c>
      <c r="C8" s="28" t="inlineStr">
        <is>
          <t>Enterprise-grade security, lower TCO</t>
        </is>
      </c>
      <c r="D8" s="39" t="n"/>
    </row>
    <row r="9" ht="44" customHeight="1">
      <c r="A9" s="26" t="inlineStr">
        <is>
          <t>No data-egress charges</t>
        </is>
      </c>
      <c r="B9" s="27" t="inlineStr">
        <is>
          <t>Inter-region/outbound data is free on NxtGen.</t>
        </is>
      </c>
      <c r="C9" s="28" t="inlineStr">
        <is>
          <t>Removes a variable, growing cost</t>
        </is>
      </c>
      <c r="D9" s="39" t="n"/>
    </row>
    <row r="10" ht="44" customHeight="1">
      <c r="A10" s="26" t="inlineStr">
        <is>
          <t>Data residency &amp; compliance</t>
        </is>
      </c>
      <c r="B10" s="27" t="inlineStr">
        <is>
          <t>Single-tenant private cloud in NxtGen India DC — strong fit for healthcare data (DPDP, HIPAA-aligned).</t>
        </is>
      </c>
      <c r="C10" s="28" t="inlineStr">
        <is>
          <t>Regulatory alignment</t>
        </is>
      </c>
      <c r="D10" s="39" t="n"/>
    </row>
    <row r="11" ht="44" customHeight="1">
      <c r="A11" s="26" t="inlineStr">
        <is>
          <t>Dedicated single-tenant performance</t>
        </is>
      </c>
      <c r="B11" s="27" t="inlineStr">
        <is>
          <t>All-NVMe, 1:4 vCore, dedicated clusters vs shared multi-tenant VMs.</t>
        </is>
      </c>
      <c r="C11" s="28" t="inlineStr">
        <is>
          <t>Consistent low-latency performance</t>
        </is>
      </c>
      <c r="D11" s="39" t="n"/>
    </row>
    <row r="12" ht="44" customHeight="1">
      <c r="A12" s="26" t="inlineStr">
        <is>
          <t>Single throat to choke</t>
        </is>
      </c>
      <c r="B12" s="27" t="inlineStr">
        <is>
          <t>One provider for infra + platform + managed + security + support.</t>
        </is>
      </c>
      <c r="C12" s="28" t="inlineStr">
        <is>
          <t>Simpler accountability &amp; SLAs</t>
        </is>
      </c>
      <c r="D12" s="39" t="n"/>
    </row>
    <row r="14">
      <c r="A14" s="30" t="inlineStr">
        <is>
          <t>B.  COST-OPTIMISATION OPTIONS</t>
        </is>
      </c>
    </row>
    <row r="15" ht="30" customHeight="1">
      <c r="A15" s="31" t="inlineStr">
        <is>
          <t>Lever</t>
        </is>
      </c>
      <c r="B15" s="31" t="inlineStr">
        <is>
          <t>Action</t>
        </is>
      </c>
      <c r="C15" s="31" t="inlineStr">
        <is>
          <t>Est. monthly saving (INR)</t>
        </is>
      </c>
      <c r="D15" s="31" t="inlineStr"/>
    </row>
    <row r="16" ht="40" customHeight="1">
      <c r="A16" s="26" t="inlineStr">
        <is>
          <t>Right-size compute</t>
        </is>
      </c>
      <c r="B16" s="27" t="inlineStr">
        <is>
          <t>Consolidate 4 lightly-used Azure VMs into the 18 vCPU pool; retire idle dev VMs (dev-vm-0).</t>
        </is>
      </c>
      <c r="C16" s="32" t="inlineStr">
        <is>
          <t>Included in flat price</t>
        </is>
      </c>
      <c r="D16" s="39" t="n"/>
    </row>
    <row r="17" ht="40" customHeight="1">
      <c r="A17" s="26" t="inlineStr">
        <is>
          <t>Eliminate egress &amp; Front Door metering</t>
        </is>
      </c>
      <c r="B17" s="27" t="inlineStr">
        <is>
          <t>Free egress + perimeter-bundled edge replaces Azure Front Door.</t>
        </is>
      </c>
      <c r="C17" s="32" t="inlineStr">
        <is>
          <t>≈ 32,000</t>
        </is>
      </c>
      <c r="D17" s="39" t="n"/>
    </row>
    <row r="18" ht="40" customHeight="1">
      <c r="A18" s="26" t="inlineStr">
        <is>
          <t>Consolidate databases</t>
        </is>
      </c>
      <c r="B18" s="27" t="inlineStr">
        <is>
          <t>7 SQL + 2 MySQL folded into one Managed Database service.</t>
        </is>
      </c>
      <c r="C18" s="32" t="inlineStr">
        <is>
          <t>≈ 30,000–40,000 vs Azure DB meters</t>
        </is>
      </c>
      <c r="D18" s="39" t="n"/>
    </row>
    <row r="19" ht="40" customHeight="1">
      <c r="A19" s="26" t="inlineStr">
        <is>
          <t>Drop separate Defender plans</t>
        </is>
      </c>
      <c r="B19" s="27" t="inlineStr">
        <is>
          <t>XDR/SIEM/SOAR bundled; retire per-resource Defender.</t>
        </is>
      </c>
      <c r="C19" s="32" t="inlineStr">
        <is>
          <t>≈ 26,900</t>
        </is>
      </c>
      <c r="D19" s="39" t="n"/>
    </row>
    <row r="20" ht="40" customHeight="1">
      <c r="A20" s="26" t="inlineStr">
        <is>
          <t>Reserved / term commitment</t>
        </is>
      </c>
      <c r="B20" s="27" t="inlineStr">
        <is>
          <t>1–3 year NxtGen contract for additional discount on MRC.</t>
        </is>
      </c>
      <c r="C20" s="32" t="inlineStr">
        <is>
          <t>Negotiable 10–20%</t>
        </is>
      </c>
      <c r="D20" s="39" t="n"/>
    </row>
    <row r="21" ht="40" customHeight="1">
      <c r="A21" s="26" t="inlineStr">
        <is>
          <t>Retire duplicate/restore artefacts</t>
        </is>
      </c>
      <c r="B21" s="27" t="inlineStr">
        <is>
          <t>Multiple App Service 'restore-*' and old resource groups on Azure are dead cost.</t>
        </is>
      </c>
      <c r="C21" s="32" t="inlineStr">
        <is>
          <t>Clean-up saving</t>
        </is>
      </c>
      <c r="D21" s="39" t="n"/>
    </row>
    <row r="22" ht="40" customHeight="1">
      <c r="A22" s="26" t="inlineStr">
        <is>
          <t>Keep only VS subscriptions on Azure</t>
        </is>
      </c>
      <c r="B22" s="27" t="inlineStr">
        <is>
          <t>Move infra off Azure; retain ₹25,315/mo developer licences only.</t>
        </is>
      </c>
      <c r="C22" s="32" t="inlineStr">
        <is>
          <t>Avoids ~₹2.3 L/mo Azure infra</t>
        </is>
      </c>
      <c r="D22" s="39" t="n"/>
    </row>
  </sheetData>
  <mergeCells count="16">
    <mergeCell ref="A1:D1"/>
    <mergeCell ref="C12:D12"/>
    <mergeCell ref="C20:D20"/>
    <mergeCell ref="C6:D6"/>
    <mergeCell ref="C7:D7"/>
    <mergeCell ref="C10:D10"/>
    <mergeCell ref="C16:D16"/>
    <mergeCell ref="C21:D21"/>
    <mergeCell ref="C11:D11"/>
    <mergeCell ref="C19:D19"/>
    <mergeCell ref="C22:D22"/>
    <mergeCell ref="A2:D2"/>
    <mergeCell ref="C9:D9"/>
    <mergeCell ref="C17:D17"/>
    <mergeCell ref="C18:D18"/>
    <mergeCell ref="C8:D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56" customWidth="1" min="2" max="2"/>
    <col width="52" customWidth="1" min="3" max="3"/>
  </cols>
  <sheetData>
    <row r="1" ht="28" customHeight="1">
      <c r="A1" s="1" t="inlineStr">
        <is>
          <t>Advanced Services — NxtGen SpeedCloud vs Azure</t>
        </is>
      </c>
    </row>
    <row r="2" ht="18" customHeight="1">
      <c r="A2" s="2" t="inlineStr">
        <is>
          <t>Where NxtGen SpeedCloud offers capability beyond, or bundled ahead of, the current Azure setup.</t>
        </is>
      </c>
    </row>
    <row r="4" ht="30" customHeight="1">
      <c r="A4" s="4" t="inlineStr">
        <is>
          <t>Service Area</t>
        </is>
      </c>
      <c r="B4" s="4" t="inlineStr">
        <is>
          <t>NxtGen SpeedCloud advantage</t>
        </is>
      </c>
      <c r="C4" s="4" t="inlineStr">
        <is>
          <t>On Azure today</t>
        </is>
      </c>
    </row>
    <row r="5" ht="46" customHeight="1">
      <c r="A5" s="26" t="inlineStr">
        <is>
          <t>Managed SOC (SIEM+SOAR+XDR)</t>
        </is>
      </c>
      <c r="B5" s="27" t="inlineStr">
        <is>
          <t>Fully-operated 24x7 SOC bundled: NxtGen SIEM, SOAR playbooks, XDRShield.</t>
        </is>
      </c>
      <c r="C5" s="33" t="inlineStr">
        <is>
          <t>Would need Microsoft Sentinel + Defender + staff/MSP (all extra).</t>
        </is>
      </c>
    </row>
    <row r="6" ht="46" customHeight="1">
      <c r="A6" s="26" t="inlineStr">
        <is>
          <t>AIOps — Auto Intelli Dashboard</t>
        </is>
      </c>
      <c r="B6" s="27" t="inlineStr">
        <is>
          <t>AI-driven, per-VM operational intelligence and anomaly detection out-of-the-box.</t>
        </is>
      </c>
      <c r="C6" s="33" t="inlineStr">
        <is>
          <t>Self-built dashboards on Azure Monitor / Log Analytics.</t>
        </is>
      </c>
    </row>
    <row r="7" ht="46" customHeight="1">
      <c r="A7" s="26" t="inlineStr">
        <is>
          <t>Managed Database service</t>
        </is>
      </c>
      <c r="B7" s="27" t="inlineStr">
        <is>
          <t>24x7 DBA-managed SQL &amp; MySQL: patching, tuning, HA, backup at flat rate.</t>
        </is>
      </c>
      <c r="C7" s="33" t="inlineStr">
        <is>
          <t>PaaS handles patching only; tuning/DBA is customer/MSP.</t>
        </is>
      </c>
    </row>
    <row r="8" ht="46" customHeight="1">
      <c r="A8" s="26" t="inlineStr">
        <is>
          <t>RedHat SpeedCloud platform</t>
        </is>
      </c>
      <c r="B8" s="27" t="inlineStr">
        <is>
          <t>OpenShift/RedHat-based automation, GitOps and container platform on private cloud.</t>
        </is>
      </c>
      <c r="C8" s="33" t="inlineStr">
        <is>
          <t>AKS available but separately deployed &amp; metered.</t>
        </is>
      </c>
    </row>
    <row r="9" ht="46" customHeight="1">
      <c r="A9" s="26" t="inlineStr">
        <is>
          <t>Integrated DDoS + NGFW perimeter</t>
        </is>
      </c>
      <c r="B9" s="27" t="inlineStr">
        <is>
          <t>Enterprise NxtGen Firewall + DDoS-protected transport in base price.</t>
        </is>
      </c>
      <c r="C9" s="33" t="inlineStr">
        <is>
          <t>Azure DDoS Standard + Firewall are separate paid SKUs (not deployed).</t>
        </is>
      </c>
    </row>
    <row r="10" ht="46" customHeight="1">
      <c r="A10" s="26" t="inlineStr">
        <is>
          <t>Single-tenant data-residency cloud</t>
        </is>
      </c>
      <c r="B10" s="27" t="inlineStr">
        <is>
          <t>Dedicated private cloud in India DC — healthcare/DPDP-aligned isolation.</t>
        </is>
      </c>
      <c r="C10" s="33" t="inlineStr">
        <is>
          <t>Multi-tenant public regions; isolation via config, not dedicated HW.</t>
        </is>
      </c>
    </row>
    <row r="11" ht="46" customHeight="1">
      <c r="A11" s="26" t="inlineStr">
        <is>
          <t>Fully-managed OS &amp; VM lifecycle</t>
        </is>
      </c>
      <c r="B11" s="27" t="inlineStr">
        <is>
          <t>24x7 managed OS + VM ops bundled per VM.</t>
        </is>
      </c>
      <c r="C11" s="33" t="inlineStr">
        <is>
          <t>Customer-managed or third-party MSP (extra cost).</t>
        </is>
      </c>
    </row>
    <row r="12" ht="46" customHeight="1">
      <c r="A12" s="26" t="inlineStr">
        <is>
          <t>Predictable, egress-free economics</t>
        </is>
      </c>
      <c r="B12" s="27" t="inlineStr">
        <is>
          <t>Flat pricing, zero data-egress, no per-request metering.</t>
        </is>
      </c>
      <c r="C12" s="33" t="inlineStr">
        <is>
          <t>Consumption metering across egress, requests, ingestion, per-resource.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2026-08-12T07:36:57Z</dcterms:created>
  <dcterms:modified xmlns:dcterms="http://purl.org/dc/terms/" xmlns:xsi="http://www.w3.org/2001/XMLSchema-instance" xsi:type="dcterms:W3CDTF">2026-08-12T07:40:20Z</dcterms:modified>
</cp:coreProperties>
</file>